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critorio\UNIVERSIDAD\3CARRERA\1CUATRIMESTRE\COMPUTACIÓN UBICUA\LABORATORIO\"/>
    </mc:Choice>
  </mc:AlternateContent>
  <xr:revisionPtr revIDLastSave="0" documentId="13_ncr:1_{F177F18B-5E70-4E35-8F8F-0BC6B6E64510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Tasks" sheetId="1" r:id="rId1"/>
  </sheets>
  <definedNames>
    <definedName name="_xlnm.Print_Area" localSheetId="0">Tasks!$A$1:$DB$41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DC14" i="1" s="1"/>
  <c r="DA5" i="1" l="1"/>
  <c r="DC4" i="1"/>
  <c r="DD26" i="1" l="1"/>
  <c r="DC26" i="1"/>
  <c r="DD24" i="1"/>
  <c r="DD22" i="1"/>
  <c r="DD20" i="1"/>
  <c r="DD18" i="1"/>
  <c r="DD16" i="1"/>
  <c r="DD14" i="1"/>
  <c r="DD12" i="1"/>
  <c r="DD10" i="1"/>
  <c r="DD8" i="1"/>
  <c r="DD6" i="1"/>
  <c r="DC12" i="1"/>
  <c r="DC24" i="1"/>
  <c r="DC22" i="1"/>
  <c r="DC20" i="1"/>
  <c r="DC18" i="1"/>
  <c r="DC16" i="1"/>
  <c r="DC8" i="1"/>
  <c r="DC6" i="1"/>
  <c r="DC10" i="1"/>
  <c r="DC5" i="1"/>
  <c r="F4" i="1" s="1"/>
  <c r="G4" i="1" l="1"/>
  <c r="H4" i="1" l="1"/>
  <c r="I4" i="1" l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</calcChain>
</file>

<file path=xl/sharedStrings.xml><?xml version="1.0" encoding="utf-8"?>
<sst xmlns="http://schemas.openxmlformats.org/spreadsheetml/2006/main" count="31" uniqueCount="25">
  <si>
    <t>Start</t>
  </si>
  <si>
    <t>Final Target</t>
  </si>
  <si>
    <t>Today</t>
  </si>
  <si>
    <t>No.</t>
  </si>
  <si>
    <t>Project Task Planner</t>
  </si>
  <si>
    <t>Búsqueda y compra de los componentes</t>
  </si>
  <si>
    <t>Análisis y búsqueda de información sobre los componentes</t>
  </si>
  <si>
    <t>Tarea</t>
  </si>
  <si>
    <t>Empieza</t>
  </si>
  <si>
    <t>Acaba</t>
  </si>
  <si>
    <t>Realizado por:</t>
  </si>
  <si>
    <t>Todos los integrantes</t>
  </si>
  <si>
    <t>Carlos</t>
  </si>
  <si>
    <t>Alejandro</t>
  </si>
  <si>
    <t>Sergio</t>
  </si>
  <si>
    <t>Alberto</t>
  </si>
  <si>
    <t>Preparación y puesta a punto del servidor</t>
  </si>
  <si>
    <t>Implementación del modelo de datos</t>
  </si>
  <si>
    <t>Creación de la base de datos</t>
  </si>
  <si>
    <t>Conexión y comunicación Cliente-Servidor</t>
  </si>
  <si>
    <t>Implementación del código de todos los componentes</t>
  </si>
  <si>
    <t>Construcción de la arquitectura del sistema</t>
  </si>
  <si>
    <t>Creación de la página web</t>
  </si>
  <si>
    <t>Creación de aplicación movil Android</t>
  </si>
  <si>
    <t>Pruebas y testeos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</si>
</sst>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/mmm/yy;@"/>
    <numFmt numFmtId="166" formatCode="0.000"/>
    <numFmt numFmtId="167" formatCode="_(* #,##0_);_(* \(#,##0\);_(* &quot;-&quot;??_);_(@_)"/>
    <numFmt numFmtId="168" formatCode="[$-409]mmm\ 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5" fontId="0" fillId="0" borderId="0" xfId="0" applyNumberFormat="1"/>
    <xf numFmtId="0" fontId="1" fillId="0" borderId="0" xfId="0" applyFont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6" fontId="0" fillId="0" borderId="0" xfId="0" applyNumberFormat="1"/>
    <xf numFmtId="0" fontId="2" fillId="0" borderId="0" xfId="0" applyFont="1"/>
    <xf numFmtId="0" fontId="0" fillId="0" borderId="0" xfId="0" applyFill="1"/>
    <xf numFmtId="165" fontId="0" fillId="0" borderId="0" xfId="0" applyNumberFormat="1" applyFill="1"/>
    <xf numFmtId="0" fontId="0" fillId="0" borderId="2" xfId="0" applyFill="1" applyBorder="1"/>
    <xf numFmtId="0" fontId="0" fillId="0" borderId="3" xfId="0" applyFill="1" applyBorder="1"/>
    <xf numFmtId="0" fontId="0" fillId="3" borderId="0" xfId="0" applyFill="1" applyBorder="1"/>
    <xf numFmtId="0" fontId="0" fillId="3" borderId="9" xfId="0" applyFill="1" applyBorder="1"/>
    <xf numFmtId="0" fontId="0" fillId="0" borderId="0" xfId="0" applyFill="1" applyBorder="1"/>
    <xf numFmtId="0" fontId="0" fillId="0" borderId="9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10" xfId="0" applyFill="1" applyBorder="1"/>
    <xf numFmtId="0" fontId="0" fillId="3" borderId="10" xfId="0" applyFill="1" applyBorder="1"/>
    <xf numFmtId="0" fontId="0" fillId="3" borderId="11" xfId="0" applyFill="1" applyBorder="1"/>
    <xf numFmtId="167" fontId="0" fillId="0" borderId="0" xfId="1" applyNumberFormat="1" applyFont="1"/>
    <xf numFmtId="0" fontId="0" fillId="0" borderId="12" xfId="0" applyFill="1" applyBorder="1"/>
    <xf numFmtId="0" fontId="0" fillId="3" borderId="12" xfId="0" applyFill="1" applyBorder="1"/>
    <xf numFmtId="0" fontId="0" fillId="3" borderId="13" xfId="0" applyFill="1" applyBorder="1"/>
    <xf numFmtId="165" fontId="0" fillId="2" borderId="7" xfId="0" applyNumberFormat="1" applyFill="1" applyBorder="1"/>
    <xf numFmtId="10" fontId="0" fillId="0" borderId="0" xfId="2" applyNumberFormat="1" applyFont="1"/>
    <xf numFmtId="0" fontId="4" fillId="0" borderId="0" xfId="0" applyNumberFormat="1" applyFont="1"/>
    <xf numFmtId="0" fontId="0" fillId="0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168" fontId="0" fillId="0" borderId="0" xfId="0" applyNumberFormat="1"/>
    <xf numFmtId="168" fontId="1" fillId="2" borderId="7" xfId="0" applyNumberFormat="1" applyFont="1" applyFill="1" applyBorder="1" applyAlignment="1">
      <alignment horizontal="center"/>
    </xf>
    <xf numFmtId="168" fontId="0" fillId="0" borderId="0" xfId="0" applyNumberFormat="1" applyFill="1" applyBorder="1"/>
    <xf numFmtId="168" fontId="0" fillId="3" borderId="0" xfId="0" applyNumberFormat="1" applyFill="1" applyBorder="1"/>
    <xf numFmtId="168" fontId="0" fillId="3" borderId="4" xfId="0" applyNumberFormat="1" applyFill="1" applyBorder="1"/>
    <xf numFmtId="0" fontId="1" fillId="2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2"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50"/>
  <sheetViews>
    <sheetView tabSelected="1" zoomScaleNormal="100" workbookViewId="0">
      <selection activeCell="DF6" sqref="DF6"/>
    </sheetView>
  </sheetViews>
  <sheetFormatPr baseColWidth="10" defaultColWidth="8.88671875" defaultRowHeight="14.4" x14ac:dyDescent="0.3"/>
  <cols>
    <col min="1" max="1" width="4.44140625" customWidth="1"/>
    <col min="2" max="2" width="50.109375" customWidth="1"/>
    <col min="3" max="3" width="11.109375" style="2" bestFit="1" customWidth="1"/>
    <col min="4" max="4" width="9.77734375" style="2" bestFit="1" customWidth="1"/>
    <col min="5" max="5" width="24.5546875" customWidth="1"/>
    <col min="6" max="105" width="0.6640625" customWidth="1"/>
    <col min="106" max="106" width="0.21875" customWidth="1"/>
    <col min="107" max="107" width="13.44140625" hidden="1" customWidth="1"/>
    <col min="108" max="108" width="11.44140625" hidden="1" customWidth="1"/>
    <col min="110" max="110" width="10.88671875" customWidth="1"/>
  </cols>
  <sheetData>
    <row r="1" spans="1:108" ht="18" x14ac:dyDescent="0.35">
      <c r="A1" s="1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108" ht="15" customHeight="1" x14ac:dyDescent="0.35">
      <c r="A2" s="1"/>
      <c r="B2" s="3" t="s">
        <v>0</v>
      </c>
      <c r="C2" s="31">
        <v>43728</v>
      </c>
      <c r="D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108" x14ac:dyDescent="0.3">
      <c r="B3" s="3" t="s">
        <v>1</v>
      </c>
      <c r="C3" s="31">
        <v>43839</v>
      </c>
      <c r="D3" s="31"/>
    </row>
    <row r="4" spans="1:108" ht="15" thickBot="1" x14ac:dyDescent="0.35">
      <c r="B4" s="3" t="s">
        <v>2</v>
      </c>
      <c r="C4" s="31">
        <v>43728</v>
      </c>
      <c r="D4" s="31"/>
      <c r="F4" s="8">
        <f>$DC$5/100</f>
        <v>1.1100000000000001</v>
      </c>
      <c r="G4" s="8">
        <f t="shared" ref="G4:AL4" si="0">$DC$5/100+F4</f>
        <v>2.2200000000000002</v>
      </c>
      <c r="H4" s="8">
        <f t="shared" si="0"/>
        <v>3.33</v>
      </c>
      <c r="I4" s="8">
        <f t="shared" si="0"/>
        <v>4.4400000000000004</v>
      </c>
      <c r="J4" s="8">
        <f t="shared" si="0"/>
        <v>5.5500000000000007</v>
      </c>
      <c r="K4" s="8">
        <f t="shared" si="0"/>
        <v>6.660000000000001</v>
      </c>
      <c r="L4" s="8">
        <f t="shared" si="0"/>
        <v>7.7700000000000014</v>
      </c>
      <c r="M4" s="8">
        <f t="shared" si="0"/>
        <v>8.8800000000000008</v>
      </c>
      <c r="N4" s="8">
        <f t="shared" si="0"/>
        <v>9.99</v>
      </c>
      <c r="O4" s="8">
        <f t="shared" si="0"/>
        <v>11.1</v>
      </c>
      <c r="P4" s="8">
        <f t="shared" si="0"/>
        <v>12.209999999999999</v>
      </c>
      <c r="Q4" s="8">
        <f t="shared" si="0"/>
        <v>13.319999999999999</v>
      </c>
      <c r="R4" s="8">
        <f t="shared" si="0"/>
        <v>14.429999999999998</v>
      </c>
      <c r="S4" s="8">
        <f t="shared" si="0"/>
        <v>15.539999999999997</v>
      </c>
      <c r="T4" s="8">
        <f t="shared" si="0"/>
        <v>16.649999999999999</v>
      </c>
      <c r="U4" s="8">
        <f t="shared" si="0"/>
        <v>17.759999999999998</v>
      </c>
      <c r="V4" s="8">
        <f t="shared" si="0"/>
        <v>18.869999999999997</v>
      </c>
      <c r="W4" s="8">
        <f t="shared" si="0"/>
        <v>19.979999999999997</v>
      </c>
      <c r="X4" s="8">
        <f t="shared" si="0"/>
        <v>21.089999999999996</v>
      </c>
      <c r="Y4" s="8">
        <f t="shared" si="0"/>
        <v>22.199999999999996</v>
      </c>
      <c r="Z4" s="8">
        <f t="shared" si="0"/>
        <v>23.309999999999995</v>
      </c>
      <c r="AA4" s="8">
        <f t="shared" si="0"/>
        <v>24.419999999999995</v>
      </c>
      <c r="AB4" s="8">
        <f t="shared" si="0"/>
        <v>25.529999999999994</v>
      </c>
      <c r="AC4" s="8">
        <f t="shared" si="0"/>
        <v>26.639999999999993</v>
      </c>
      <c r="AD4" s="8">
        <f t="shared" si="0"/>
        <v>27.749999999999993</v>
      </c>
      <c r="AE4" s="8">
        <f t="shared" si="0"/>
        <v>28.859999999999992</v>
      </c>
      <c r="AF4" s="8">
        <f t="shared" si="0"/>
        <v>29.969999999999992</v>
      </c>
      <c r="AG4" s="8">
        <f t="shared" si="0"/>
        <v>31.079999999999991</v>
      </c>
      <c r="AH4" s="8">
        <f t="shared" si="0"/>
        <v>32.189999999999991</v>
      </c>
      <c r="AI4" s="8">
        <f t="shared" si="0"/>
        <v>33.29999999999999</v>
      </c>
      <c r="AJ4" s="8">
        <f t="shared" si="0"/>
        <v>34.409999999999989</v>
      </c>
      <c r="AK4" s="8">
        <f t="shared" si="0"/>
        <v>35.519999999999989</v>
      </c>
      <c r="AL4" s="8">
        <f t="shared" si="0"/>
        <v>36.629999999999988</v>
      </c>
      <c r="AM4" s="8">
        <f t="shared" ref="AM4:BR4" si="1">$DC$5/100+AL4</f>
        <v>37.739999999999988</v>
      </c>
      <c r="AN4" s="8">
        <f t="shared" si="1"/>
        <v>38.849999999999987</v>
      </c>
      <c r="AO4" s="8">
        <f t="shared" si="1"/>
        <v>39.959999999999987</v>
      </c>
      <c r="AP4" s="8">
        <f t="shared" si="1"/>
        <v>41.069999999999986</v>
      </c>
      <c r="AQ4" s="8">
        <f t="shared" si="1"/>
        <v>42.179999999999986</v>
      </c>
      <c r="AR4" s="8">
        <f t="shared" si="1"/>
        <v>43.289999999999985</v>
      </c>
      <c r="AS4" s="8">
        <f t="shared" si="1"/>
        <v>44.399999999999984</v>
      </c>
      <c r="AT4" s="8">
        <f t="shared" si="1"/>
        <v>45.509999999999984</v>
      </c>
      <c r="AU4" s="8">
        <f t="shared" si="1"/>
        <v>46.619999999999983</v>
      </c>
      <c r="AV4" s="8">
        <f t="shared" si="1"/>
        <v>47.729999999999983</v>
      </c>
      <c r="AW4" s="8">
        <f t="shared" si="1"/>
        <v>48.839999999999982</v>
      </c>
      <c r="AX4" s="8">
        <f t="shared" si="1"/>
        <v>49.949999999999982</v>
      </c>
      <c r="AY4" s="8">
        <f t="shared" si="1"/>
        <v>51.059999999999981</v>
      </c>
      <c r="AZ4" s="8">
        <f t="shared" si="1"/>
        <v>52.16999999999998</v>
      </c>
      <c r="BA4" s="8">
        <f t="shared" si="1"/>
        <v>53.27999999999998</v>
      </c>
      <c r="BB4" s="8">
        <f t="shared" si="1"/>
        <v>54.389999999999979</v>
      </c>
      <c r="BC4" s="8">
        <f t="shared" si="1"/>
        <v>55.499999999999979</v>
      </c>
      <c r="BD4" s="8">
        <f t="shared" si="1"/>
        <v>56.609999999999978</v>
      </c>
      <c r="BE4" s="8">
        <f t="shared" si="1"/>
        <v>57.719999999999978</v>
      </c>
      <c r="BF4" s="8">
        <f t="shared" si="1"/>
        <v>58.829999999999977</v>
      </c>
      <c r="BG4" s="8">
        <f t="shared" si="1"/>
        <v>59.939999999999976</v>
      </c>
      <c r="BH4" s="8">
        <f t="shared" si="1"/>
        <v>61.049999999999976</v>
      </c>
      <c r="BI4" s="8">
        <f t="shared" si="1"/>
        <v>62.159999999999975</v>
      </c>
      <c r="BJ4" s="8">
        <f t="shared" si="1"/>
        <v>63.269999999999975</v>
      </c>
      <c r="BK4" s="8">
        <f t="shared" si="1"/>
        <v>64.379999999999981</v>
      </c>
      <c r="BL4" s="8">
        <f t="shared" si="1"/>
        <v>65.489999999999981</v>
      </c>
      <c r="BM4" s="8">
        <f t="shared" si="1"/>
        <v>66.59999999999998</v>
      </c>
      <c r="BN4" s="8">
        <f t="shared" si="1"/>
        <v>67.70999999999998</v>
      </c>
      <c r="BO4" s="8">
        <f t="shared" si="1"/>
        <v>68.819999999999979</v>
      </c>
      <c r="BP4" s="8">
        <f t="shared" si="1"/>
        <v>69.929999999999978</v>
      </c>
      <c r="BQ4" s="8">
        <f t="shared" si="1"/>
        <v>71.039999999999978</v>
      </c>
      <c r="BR4" s="8">
        <f t="shared" si="1"/>
        <v>72.149999999999977</v>
      </c>
      <c r="BS4" s="8">
        <f t="shared" ref="BS4:DA4" si="2">$DC$5/100+BR4</f>
        <v>73.259999999999977</v>
      </c>
      <c r="BT4" s="8">
        <f t="shared" si="2"/>
        <v>74.369999999999976</v>
      </c>
      <c r="BU4" s="8">
        <f t="shared" si="2"/>
        <v>75.479999999999976</v>
      </c>
      <c r="BV4" s="8">
        <f t="shared" si="2"/>
        <v>76.589999999999975</v>
      </c>
      <c r="BW4" s="8">
        <f t="shared" si="2"/>
        <v>77.699999999999974</v>
      </c>
      <c r="BX4" s="8">
        <f t="shared" si="2"/>
        <v>78.809999999999974</v>
      </c>
      <c r="BY4" s="8">
        <f t="shared" si="2"/>
        <v>79.919999999999973</v>
      </c>
      <c r="BZ4" s="8">
        <f t="shared" si="2"/>
        <v>81.029999999999973</v>
      </c>
      <c r="CA4" s="8">
        <f t="shared" si="2"/>
        <v>82.139999999999972</v>
      </c>
      <c r="CB4" s="8">
        <f t="shared" si="2"/>
        <v>83.249999999999972</v>
      </c>
      <c r="CC4" s="8">
        <f t="shared" si="2"/>
        <v>84.359999999999971</v>
      </c>
      <c r="CD4" s="8">
        <f t="shared" si="2"/>
        <v>85.46999999999997</v>
      </c>
      <c r="CE4" s="8">
        <f t="shared" si="2"/>
        <v>86.57999999999997</v>
      </c>
      <c r="CF4" s="8">
        <f t="shared" si="2"/>
        <v>87.689999999999969</v>
      </c>
      <c r="CG4" s="8">
        <f t="shared" si="2"/>
        <v>88.799999999999969</v>
      </c>
      <c r="CH4" s="8">
        <f t="shared" si="2"/>
        <v>89.909999999999968</v>
      </c>
      <c r="CI4" s="8">
        <f t="shared" si="2"/>
        <v>91.019999999999968</v>
      </c>
      <c r="CJ4" s="8">
        <f t="shared" si="2"/>
        <v>92.129999999999967</v>
      </c>
      <c r="CK4" s="8">
        <f t="shared" si="2"/>
        <v>93.239999999999966</v>
      </c>
      <c r="CL4" s="8">
        <f t="shared" si="2"/>
        <v>94.349999999999966</v>
      </c>
      <c r="CM4" s="8">
        <f t="shared" si="2"/>
        <v>95.459999999999965</v>
      </c>
      <c r="CN4" s="8">
        <f t="shared" si="2"/>
        <v>96.569999999999965</v>
      </c>
      <c r="CO4" s="8">
        <f t="shared" si="2"/>
        <v>97.679999999999964</v>
      </c>
      <c r="CP4" s="8">
        <f t="shared" si="2"/>
        <v>98.789999999999964</v>
      </c>
      <c r="CQ4" s="8">
        <f t="shared" si="2"/>
        <v>99.899999999999963</v>
      </c>
      <c r="CR4" s="8">
        <f t="shared" si="2"/>
        <v>101.00999999999996</v>
      </c>
      <c r="CS4" s="8">
        <f t="shared" si="2"/>
        <v>102.11999999999996</v>
      </c>
      <c r="CT4" s="8">
        <f t="shared" si="2"/>
        <v>103.22999999999996</v>
      </c>
      <c r="CU4" s="8">
        <f t="shared" si="2"/>
        <v>104.33999999999996</v>
      </c>
      <c r="CV4" s="8">
        <f t="shared" si="2"/>
        <v>105.44999999999996</v>
      </c>
      <c r="CW4" s="8">
        <f t="shared" si="2"/>
        <v>106.55999999999996</v>
      </c>
      <c r="CX4" s="8">
        <f t="shared" si="2"/>
        <v>107.66999999999996</v>
      </c>
      <c r="CY4" s="8">
        <f t="shared" si="2"/>
        <v>108.77999999999996</v>
      </c>
      <c r="CZ4" s="8">
        <f t="shared" si="2"/>
        <v>109.88999999999996</v>
      </c>
      <c r="DA4" s="8">
        <f t="shared" si="2"/>
        <v>110.99999999999996</v>
      </c>
      <c r="DB4" s="7"/>
      <c r="DC4" s="28">
        <f>C4-F5</f>
        <v>0</v>
      </c>
    </row>
    <row r="5" spans="1:108" ht="15" thickBot="1" x14ac:dyDescent="0.35">
      <c r="A5" s="4" t="s">
        <v>3</v>
      </c>
      <c r="B5" s="5" t="s">
        <v>7</v>
      </c>
      <c r="C5" s="32" t="s">
        <v>8</v>
      </c>
      <c r="D5" s="32" t="s">
        <v>9</v>
      </c>
      <c r="E5" s="6" t="s">
        <v>10</v>
      </c>
      <c r="F5" s="26">
        <f>C2</f>
        <v>43728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>
        <f>C3</f>
        <v>43839</v>
      </c>
      <c r="DB5" s="36"/>
      <c r="DC5">
        <f>DA5-F5</f>
        <v>111</v>
      </c>
    </row>
    <row r="6" spans="1:108" x14ac:dyDescent="0.3">
      <c r="A6" s="23">
        <v>1</v>
      </c>
      <c r="B6" s="29" t="s">
        <v>5</v>
      </c>
      <c r="C6" s="33">
        <v>43728</v>
      </c>
      <c r="D6" s="33">
        <v>43763</v>
      </c>
      <c r="E6" s="16" t="s">
        <v>11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/>
      <c r="DB6" s="19"/>
      <c r="DC6">
        <f>C6-$F$5</f>
        <v>0</v>
      </c>
      <c r="DD6">
        <f>D6-$F$5</f>
        <v>35</v>
      </c>
    </row>
    <row r="7" spans="1:108" ht="3.6" customHeight="1" x14ac:dyDescent="0.3">
      <c r="A7" s="24"/>
      <c r="B7" s="30"/>
      <c r="C7" s="34"/>
      <c r="D7" s="34"/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4"/>
      <c r="DB7" s="20"/>
    </row>
    <row r="8" spans="1:108" x14ac:dyDescent="0.3">
      <c r="A8" s="23">
        <v>2</v>
      </c>
      <c r="B8" s="29" t="s">
        <v>6</v>
      </c>
      <c r="C8" s="33">
        <v>43735</v>
      </c>
      <c r="D8" s="33">
        <v>43749</v>
      </c>
      <c r="E8" s="16" t="s">
        <v>11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6"/>
      <c r="DB8" s="19"/>
      <c r="DC8">
        <f>C8-$F$5</f>
        <v>7</v>
      </c>
      <c r="DD8">
        <f>D8-$F$5</f>
        <v>21</v>
      </c>
    </row>
    <row r="9" spans="1:108" ht="3.6" customHeight="1" x14ac:dyDescent="0.3">
      <c r="A9" s="24"/>
      <c r="B9" s="30"/>
      <c r="C9" s="34"/>
      <c r="D9" s="34"/>
      <c r="E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4"/>
      <c r="DB9" s="20"/>
    </row>
    <row r="10" spans="1:108" x14ac:dyDescent="0.3">
      <c r="A10" s="23">
        <v>3</v>
      </c>
      <c r="B10" s="29" t="s">
        <v>16</v>
      </c>
      <c r="C10" s="33">
        <v>43742</v>
      </c>
      <c r="D10" s="33">
        <v>43784</v>
      </c>
      <c r="E10" s="16" t="s">
        <v>14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6"/>
      <c r="DB10" s="19"/>
      <c r="DC10">
        <f>C10-$F$5</f>
        <v>14</v>
      </c>
      <c r="DD10">
        <f>D10-$F$5</f>
        <v>56</v>
      </c>
    </row>
    <row r="11" spans="1:108" ht="3.6" customHeight="1" x14ac:dyDescent="0.3">
      <c r="A11" s="24"/>
      <c r="B11" s="30"/>
      <c r="C11" s="34"/>
      <c r="D11" s="3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4"/>
      <c r="DB11" s="20"/>
    </row>
    <row r="12" spans="1:108" x14ac:dyDescent="0.3">
      <c r="A12" s="23">
        <v>4</v>
      </c>
      <c r="B12" s="29" t="s">
        <v>17</v>
      </c>
      <c r="C12" s="33">
        <v>43787</v>
      </c>
      <c r="D12" s="33">
        <v>43800</v>
      </c>
      <c r="E12" s="16" t="s">
        <v>11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6"/>
      <c r="DB12" s="19"/>
      <c r="DC12">
        <f>C12-$F$5</f>
        <v>59</v>
      </c>
      <c r="DD12">
        <f>D12-$F$5</f>
        <v>72</v>
      </c>
    </row>
    <row r="13" spans="1:108" ht="3.6" customHeight="1" x14ac:dyDescent="0.3">
      <c r="A13" s="24"/>
      <c r="B13" s="30"/>
      <c r="C13" s="34"/>
      <c r="D13" s="34"/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4"/>
      <c r="DB13" s="20"/>
    </row>
    <row r="14" spans="1:108" x14ac:dyDescent="0.3">
      <c r="A14" s="23">
        <v>5</v>
      </c>
      <c r="B14" s="29" t="s">
        <v>18</v>
      </c>
      <c r="C14" s="33">
        <v>43770</v>
      </c>
      <c r="D14" s="33">
        <v>43777</v>
      </c>
      <c r="E14" s="16" t="s">
        <v>11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6"/>
      <c r="DB14" s="19"/>
      <c r="DC14" s="22">
        <f>C14-$F$5</f>
        <v>42</v>
      </c>
      <c r="DD14">
        <f>D14-$F$5</f>
        <v>49</v>
      </c>
    </row>
    <row r="15" spans="1:108" ht="3.6" customHeight="1" x14ac:dyDescent="0.3">
      <c r="A15" s="24"/>
      <c r="B15" s="30"/>
      <c r="C15" s="34"/>
      <c r="D15" s="34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4"/>
      <c r="DB15" s="20"/>
    </row>
    <row r="16" spans="1:108" x14ac:dyDescent="0.3">
      <c r="A16" s="23">
        <v>6</v>
      </c>
      <c r="B16" s="29" t="s">
        <v>19</v>
      </c>
      <c r="C16" s="33">
        <v>43784</v>
      </c>
      <c r="D16" s="33">
        <v>43805</v>
      </c>
      <c r="E16" s="16" t="s">
        <v>14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6"/>
      <c r="DB16" s="19"/>
      <c r="DC16">
        <f>C16-$F$5</f>
        <v>56</v>
      </c>
      <c r="DD16">
        <f>D16-$F$5</f>
        <v>77</v>
      </c>
    </row>
    <row r="17" spans="1:108" ht="3.6" customHeight="1" x14ac:dyDescent="0.3">
      <c r="A17" s="24"/>
      <c r="B17" s="30"/>
      <c r="C17" s="34"/>
      <c r="D17" s="34"/>
      <c r="E17" s="14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4"/>
      <c r="DB17" s="20"/>
    </row>
    <row r="18" spans="1:108" x14ac:dyDescent="0.3">
      <c r="A18" s="23">
        <v>7</v>
      </c>
      <c r="B18" s="29" t="s">
        <v>20</v>
      </c>
      <c r="C18" s="33">
        <v>43784</v>
      </c>
      <c r="D18" s="33">
        <v>43812</v>
      </c>
      <c r="E18" s="16" t="s">
        <v>12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6"/>
      <c r="DB18" s="19"/>
      <c r="DC18">
        <f>C18-$F$5</f>
        <v>56</v>
      </c>
      <c r="DD18">
        <f>D18-$F$5</f>
        <v>84</v>
      </c>
    </row>
    <row r="19" spans="1:108" ht="3.6" customHeight="1" x14ac:dyDescent="0.3">
      <c r="A19" s="24"/>
      <c r="B19" s="30"/>
      <c r="C19" s="34"/>
      <c r="D19" s="34"/>
      <c r="E19" s="14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4"/>
      <c r="DB19" s="20"/>
    </row>
    <row r="20" spans="1:108" ht="13.8" customHeight="1" x14ac:dyDescent="0.3">
      <c r="A20" s="23">
        <v>8</v>
      </c>
      <c r="B20" s="29" t="s">
        <v>21</v>
      </c>
      <c r="C20" s="33">
        <v>43812</v>
      </c>
      <c r="D20" s="33">
        <v>43819</v>
      </c>
      <c r="E20" s="16" t="s">
        <v>11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6"/>
      <c r="DB20" s="19"/>
      <c r="DC20">
        <f>C20-$F$5</f>
        <v>84</v>
      </c>
      <c r="DD20">
        <f>D20-$F$5</f>
        <v>91</v>
      </c>
    </row>
    <row r="21" spans="1:108" ht="2.4" customHeight="1" x14ac:dyDescent="0.3">
      <c r="A21" s="24"/>
      <c r="B21" s="30"/>
      <c r="C21" s="34"/>
      <c r="D21" s="34"/>
      <c r="E21" s="14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4"/>
      <c r="DB21" s="20"/>
    </row>
    <row r="22" spans="1:108" ht="12.6" customHeight="1" x14ac:dyDescent="0.3">
      <c r="A22" s="23">
        <v>9</v>
      </c>
      <c r="B22" s="29" t="s">
        <v>22</v>
      </c>
      <c r="C22" s="33">
        <v>43770</v>
      </c>
      <c r="D22" s="33">
        <v>43805</v>
      </c>
      <c r="E22" s="16" t="s">
        <v>13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6"/>
      <c r="DB22" s="19"/>
      <c r="DC22">
        <f>C22-$F$5</f>
        <v>42</v>
      </c>
      <c r="DD22">
        <f>D22-$F$5</f>
        <v>77</v>
      </c>
    </row>
    <row r="23" spans="1:108" ht="2.4" customHeight="1" x14ac:dyDescent="0.3">
      <c r="A23" s="24"/>
      <c r="B23" s="30"/>
      <c r="C23" s="34"/>
      <c r="D23" s="34"/>
      <c r="E23" s="14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4"/>
      <c r="DB23" s="20"/>
    </row>
    <row r="24" spans="1:108" ht="12.6" customHeight="1" x14ac:dyDescent="0.3">
      <c r="A24" s="23">
        <v>10</v>
      </c>
      <c r="B24" s="29" t="s">
        <v>23</v>
      </c>
      <c r="C24" s="33">
        <v>43770</v>
      </c>
      <c r="D24" s="33">
        <v>43805</v>
      </c>
      <c r="E24" s="16" t="s">
        <v>15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6"/>
      <c r="DB24" s="19"/>
      <c r="DC24">
        <f>C24-$F$5</f>
        <v>42</v>
      </c>
      <c r="DD24">
        <f>D24-$F$5</f>
        <v>77</v>
      </c>
    </row>
    <row r="25" spans="1:108" ht="2.4" customHeight="1" x14ac:dyDescent="0.3">
      <c r="A25" s="24"/>
      <c r="B25" s="30"/>
      <c r="C25" s="34"/>
      <c r="D25" s="34"/>
      <c r="E25" s="14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4"/>
      <c r="DB25" s="20"/>
    </row>
    <row r="26" spans="1:108" ht="13.8" customHeight="1" x14ac:dyDescent="0.3">
      <c r="A26" s="23">
        <v>11</v>
      </c>
      <c r="B26" s="29" t="s">
        <v>24</v>
      </c>
      <c r="C26" s="33">
        <v>43812</v>
      </c>
      <c r="D26" s="33">
        <v>43835</v>
      </c>
      <c r="E26" s="16" t="s">
        <v>11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6"/>
      <c r="DB26" s="19"/>
      <c r="DC26">
        <f>C26-$F$5</f>
        <v>84</v>
      </c>
      <c r="DD26">
        <f>D26-$F$5</f>
        <v>107</v>
      </c>
    </row>
    <row r="27" spans="1:108" ht="4.8" customHeight="1" thickBot="1" x14ac:dyDescent="0.35">
      <c r="A27" s="25"/>
      <c r="B27" s="17"/>
      <c r="C27" s="35"/>
      <c r="D27" s="35"/>
      <c r="E27" s="18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8"/>
      <c r="DB27" s="21"/>
    </row>
    <row r="28" spans="1:108" x14ac:dyDescent="0.3">
      <c r="A28" s="9"/>
      <c r="B28" s="9"/>
      <c r="C28" s="10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</row>
    <row r="42" spans="3:5" x14ac:dyDescent="0.3">
      <c r="C42" s="22"/>
      <c r="D42" s="22"/>
      <c r="E42" s="22"/>
    </row>
    <row r="43" spans="3:5" x14ac:dyDescent="0.3">
      <c r="C43" s="22"/>
      <c r="D43" s="22"/>
      <c r="E43" s="22"/>
    </row>
    <row r="44" spans="3:5" x14ac:dyDescent="0.3">
      <c r="C44" s="22"/>
      <c r="D44" s="22"/>
      <c r="E44" s="22"/>
    </row>
    <row r="45" spans="3:5" x14ac:dyDescent="0.3">
      <c r="C45" s="22"/>
      <c r="D45" s="22"/>
      <c r="E45" s="22"/>
    </row>
    <row r="46" spans="3:5" x14ac:dyDescent="0.3">
      <c r="C46" s="22"/>
      <c r="D46" s="22"/>
      <c r="E46" s="22"/>
    </row>
    <row r="47" spans="3:5" x14ac:dyDescent="0.3">
      <c r="C47" s="22"/>
      <c r="D47" s="22"/>
      <c r="E47" s="22"/>
    </row>
    <row r="48" spans="3:5" x14ac:dyDescent="0.3">
      <c r="C48" s="22"/>
      <c r="D48" s="22"/>
      <c r="E48" s="22"/>
    </row>
    <row r="49" spans="3:4" x14ac:dyDescent="0.3">
      <c r="C49" s="27"/>
      <c r="D49" s="27"/>
    </row>
    <row r="50" spans="3:4" x14ac:dyDescent="0.3">
      <c r="C50" s="27"/>
      <c r="D50" s="27"/>
    </row>
  </sheetData>
  <conditionalFormatting sqref="F6:DA27">
    <cfRule type="expression" dxfId="1" priority="23">
      <formula>AND($DC6&lt;=F$4,$DD6&gt;=F$4,OR($DC6&gt;0,$DD6&gt;0))</formula>
    </cfRule>
  </conditionalFormatting>
  <conditionalFormatting sqref="F5:DA27">
    <cfRule type="expression" dxfId="0" priority="10">
      <formula>AND(ABS($DC$4-E$4)&gt;ABS($DC$4-F$4),ABS($DC$4-G$4)&gt;ABS($DC$4-F$4))</formula>
    </cfRule>
  </conditionalFormatting>
  <pageMargins left="0.5" right="0.17" top="0.69" bottom="0.25" header="0.74" footer="0.17"/>
  <pageSetup paperSize="9" orientation="landscape" r:id="rId1"/>
  <headerFooter>
    <oddFooter>&amp;R&amp;D</oddFooter>
  </headerFooter>
  <colBreaks count="1" manualBreakCount="1">
    <brk id="10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Tasks</vt:lpstr>
      <vt:lpstr>Tasks!Área_de_impresión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Neacsu</dc:creator>
  <cp:lastModifiedBy>Alberto</cp:lastModifiedBy>
  <cp:lastPrinted>2016-05-25T05:47:19Z</cp:lastPrinted>
  <dcterms:created xsi:type="dcterms:W3CDTF">2015-07-31T13:07:24Z</dcterms:created>
  <dcterms:modified xsi:type="dcterms:W3CDTF">2019-11-28T15:42:30Z</dcterms:modified>
</cp:coreProperties>
</file>